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check Budget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Upg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mmm d"/>
    <numFmt numFmtId="166" formatCode="mmm d, yyyy"/>
  </numFmts>
  <fonts count="13">
    <font>
      <name val="Calibri"/>
      <family val="2"/>
      <color theme="1"/>
      <sz val="11"/>
      <scheme val="minor"/>
    </font>
    <font>
      <name val="Roboto"/>
      <color rgb="002F3A34"/>
      <sz val="10"/>
    </font>
    <font>
      <name val="Roboto"/>
      <b val="1"/>
      <color rgb="003F4F45"/>
      <sz val="18"/>
    </font>
    <font>
      <name val="Roboto"/>
      <i val="1"/>
      <color rgb="006B7A70"/>
      <sz val="10"/>
    </font>
    <font>
      <name val="Roboto"/>
      <b val="1"/>
      <color rgb="00FFFFFF"/>
      <sz val="10"/>
    </font>
    <font>
      <name val="Roboto"/>
      <b val="1"/>
      <color rgb="002F3A34"/>
      <sz val="10"/>
    </font>
    <font>
      <name val="Roboto"/>
      <b val="1"/>
      <color rgb="002E6B4F"/>
      <sz val="10"/>
      <u val="single"/>
    </font>
    <font>
      <name val="Roboto"/>
      <color rgb="002F3A34"/>
      <sz val="11"/>
    </font>
    <font>
      <name val="Roboto"/>
      <b val="1"/>
      <color rgb="003F4F45"/>
      <sz val="16"/>
    </font>
    <font>
      <name val="Roboto"/>
      <color rgb="008A968E"/>
      <sz val="9"/>
    </font>
    <font>
      <name val="Roboto"/>
      <b val="1"/>
      <color rgb="002E6B4F"/>
      <sz val="11"/>
    </font>
    <font>
      <name val="Roboto"/>
      <b val="1"/>
      <color rgb="00FFFFFF"/>
      <sz val="11"/>
    </font>
    <font>
      <name val="Roboto"/>
      <b val="1"/>
      <color rgb="002E6B4F"/>
      <sz val="11"/>
      <u val="single"/>
    </font>
  </fonts>
  <fills count="6">
    <fill>
      <patternFill/>
    </fill>
    <fill>
      <patternFill patternType="gray125"/>
    </fill>
    <fill>
      <patternFill patternType="solid">
        <fgColor rgb="005F6F65"/>
      </patternFill>
    </fill>
    <fill>
      <patternFill patternType="solid">
        <fgColor rgb="00E8EDE6"/>
      </patternFill>
    </fill>
    <fill>
      <patternFill patternType="solid">
        <fgColor rgb="00FFF8E7"/>
      </patternFill>
    </fill>
    <fill>
      <patternFill patternType="solid">
        <fgColor rgb="00F4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1" fillId="4" borderId="0" pivotButton="0" quotePrefix="0" xfId="0"/>
    <xf numFmtId="0" fontId="1" fillId="5" borderId="0" pivotButton="0" quotePrefix="0" xfId="0"/>
    <xf numFmtId="164" fontId="1" fillId="5" borderId="0" pivotButton="0" quotePrefix="0" xfId="0"/>
    <xf numFmtId="164" fontId="1" fillId="4" borderId="0" pivotButton="0" quotePrefix="0" xfId="0"/>
    <xf numFmtId="164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5" fillId="5" borderId="0" pivotButton="0" quotePrefix="0" xfId="0"/>
    <xf numFmtId="164" fontId="5" fillId="5" borderId="0" pivotButton="0" quotePrefix="0" xfId="0"/>
    <xf numFmtId="164" fontId="4" fillId="2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1" fillId="4" borderId="0" pivotButton="0" quotePrefix="0" xfId="0"/>
    <xf numFmtId="165" fontId="1" fillId="4" borderId="0" pivotButton="0" quotePrefix="0" xfId="0"/>
    <xf numFmtId="0" fontId="1" fillId="3" borderId="0" pivotButton="0" quotePrefix="0" xfId="0"/>
    <xf numFmtId="0" fontId="6" fillId="3" borderId="0" pivotButton="0" quotePrefix="0" xfId="0"/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2" customWidth="1" min="4" max="4"/>
    <col width="4" customWidth="1" min="5" max="5"/>
    <col width="20" customWidth="1" min="6" max="6"/>
    <col width="32" customWidth="1" min="7" max="7"/>
  </cols>
  <sheetData>
    <row r="1">
      <c r="A1" s="1" t="inlineStr">
        <is>
          <t>Paycheck Budget Starter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Plan one paycheck at a time. Type in the shaded cells; totals update on their own.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PAYCHECK</t>
        </is>
      </c>
      <c r="B4" s="4" t="n"/>
      <c r="C4" s="4" t="n"/>
      <c r="D4" s="4" t="n"/>
      <c r="E4" s="2" t="n"/>
      <c r="F4" s="4" t="inlineStr">
        <is>
          <t>SUMMARY</t>
        </is>
      </c>
      <c r="G4" s="4" t="n"/>
    </row>
    <row r="5">
      <c r="A5" s="2" t="inlineStr">
        <is>
          <t>Pay date</t>
        </is>
      </c>
      <c r="B5" s="5" t="n"/>
      <c r="C5" s="2" t="n"/>
      <c r="D5" s="2" t="n"/>
      <c r="E5" s="2" t="n"/>
      <c r="F5" s="6" t="inlineStr">
        <is>
          <t>Total income</t>
        </is>
      </c>
      <c r="G5" s="7">
        <f>B8</f>
        <v/>
      </c>
    </row>
    <row r="6">
      <c r="A6" s="2" t="inlineStr">
        <is>
          <t>Take-home pay</t>
        </is>
      </c>
      <c r="B6" s="8" t="n">
        <v>1800</v>
      </c>
      <c r="C6" s="9" t="n"/>
      <c r="D6" s="2" t="n"/>
      <c r="E6" s="2" t="n"/>
      <c r="F6" s="6" t="inlineStr">
        <is>
          <t>Fixed bills</t>
        </is>
      </c>
      <c r="G6" s="7">
        <f>C20</f>
        <v/>
      </c>
    </row>
    <row r="7">
      <c r="A7" s="2" t="inlineStr">
        <is>
          <t>Other income</t>
        </is>
      </c>
      <c r="B7" s="8" t="n">
        <v>0</v>
      </c>
      <c r="C7" s="9" t="n"/>
      <c r="D7" s="2" t="n"/>
      <c r="E7" s="2" t="n"/>
      <c r="F7" s="6" t="inlineStr">
        <is>
          <t>Savings &amp; debt</t>
        </is>
      </c>
      <c r="G7" s="7">
        <f>C27</f>
        <v/>
      </c>
    </row>
    <row r="8">
      <c r="A8" s="10" t="inlineStr">
        <is>
          <t>Total income</t>
        </is>
      </c>
      <c r="B8" s="11">
        <f>B6+B7</f>
        <v/>
      </c>
      <c r="C8" s="9" t="n"/>
      <c r="D8" s="2" t="n"/>
      <c r="E8" s="2" t="n"/>
      <c r="F8" s="6" t="inlineStr">
        <is>
          <t>Everyday spending</t>
        </is>
      </c>
      <c r="G8" s="7">
        <f>C34</f>
        <v/>
      </c>
    </row>
    <row r="9">
      <c r="A9" s="2" t="n"/>
      <c r="B9" s="9" t="n"/>
      <c r="C9" s="9" t="n"/>
      <c r="D9" s="2" t="n"/>
      <c r="E9" s="2" t="n"/>
      <c r="F9" s="12" t="inlineStr">
        <is>
          <t>Leftover</t>
        </is>
      </c>
      <c r="G9" s="13">
        <f>G5-G6-G7-G8</f>
        <v/>
      </c>
    </row>
    <row r="10">
      <c r="A10" s="4" t="inlineStr">
        <is>
          <t>FIXED BILLS</t>
        </is>
      </c>
      <c r="B10" s="14" t="n"/>
      <c r="C10" s="14" t="n"/>
      <c r="D10" s="4" t="n"/>
      <c r="E10" s="2" t="n"/>
      <c r="F10" s="12" t="inlineStr">
        <is>
          <t>Status</t>
        </is>
      </c>
      <c r="G10" s="12">
        <f>IF(G9&lt;0,"Over by "&amp;TEXT(-G9,"$#,##0")&amp;" - trim a line",IF(G9=0,"Every dollar has a job",TEXT(G9,"$#,##0")&amp;" left to assign"))</f>
        <v/>
      </c>
    </row>
    <row r="11">
      <c r="A11" s="15" t="inlineStr">
        <is>
          <t>Bill</t>
        </is>
      </c>
      <c r="B11" s="16" t="inlineStr">
        <is>
          <t>Due date</t>
        </is>
      </c>
      <c r="C11" s="16" t="inlineStr">
        <is>
          <t>Amount</t>
        </is>
      </c>
      <c r="D11" s="15" t="inlineStr">
        <is>
          <t>Paid?</t>
        </is>
      </c>
      <c r="E11" s="2" t="n"/>
      <c r="F11" s="2" t="n"/>
      <c r="G11" s="2" t="n"/>
    </row>
    <row r="12">
      <c r="A12" s="17" t="inlineStr">
        <is>
          <t>Rent / mortgage</t>
        </is>
      </c>
      <c r="B12" s="18" t="n"/>
      <c r="C12" s="8" t="n">
        <v>950</v>
      </c>
      <c r="D12" s="17" t="inlineStr">
        <is>
          <t>No</t>
        </is>
      </c>
      <c r="E12" s="2" t="n"/>
      <c r="F12" s="2" t="n"/>
      <c r="G12" s="2" t="n"/>
    </row>
    <row r="13">
      <c r="A13" s="17" t="inlineStr">
        <is>
          <t>Phone</t>
        </is>
      </c>
      <c r="B13" s="18" t="n"/>
      <c r="C13" s="8" t="n">
        <v>45</v>
      </c>
      <c r="D13" s="17" t="inlineStr">
        <is>
          <t>No</t>
        </is>
      </c>
      <c r="E13" s="2" t="n"/>
      <c r="F13" s="2" t="n"/>
      <c r="G13" s="2" t="n"/>
    </row>
    <row r="14">
      <c r="A14" s="17" t="inlineStr">
        <is>
          <t>Internet</t>
        </is>
      </c>
      <c r="B14" s="18" t="n"/>
      <c r="C14" s="8" t="n">
        <v>60</v>
      </c>
      <c r="D14" s="17" t="inlineStr">
        <is>
          <t>No</t>
        </is>
      </c>
      <c r="E14" s="2" t="n"/>
      <c r="F14" s="2" t="n"/>
      <c r="G14" s="2" t="n"/>
    </row>
    <row r="15">
      <c r="A15" s="17" t="inlineStr">
        <is>
          <t>Car payment</t>
        </is>
      </c>
      <c r="B15" s="18" t="n"/>
      <c r="C15" s="8" t="n">
        <v>0</v>
      </c>
      <c r="D15" s="17" t="inlineStr">
        <is>
          <t>No</t>
        </is>
      </c>
      <c r="E15" s="2" t="n"/>
      <c r="F15" s="2" t="n"/>
      <c r="G15" s="2" t="n"/>
    </row>
    <row r="16">
      <c r="A16" s="17" t="inlineStr">
        <is>
          <t>Insurance</t>
        </is>
      </c>
      <c r="B16" s="18" t="n"/>
      <c r="C16" s="8" t="n">
        <v>120</v>
      </c>
      <c r="D16" s="17" t="inlineStr">
        <is>
          <t>No</t>
        </is>
      </c>
      <c r="E16" s="2" t="n"/>
      <c r="F16" s="2" t="n"/>
      <c r="G16" s="2" t="n"/>
    </row>
    <row r="17">
      <c r="A17" s="17" t="inlineStr">
        <is>
          <t>Utilities</t>
        </is>
      </c>
      <c r="B17" s="18" t="n"/>
      <c r="C17" s="8" t="n">
        <v>90</v>
      </c>
      <c r="D17" s="17" t="inlineStr">
        <is>
          <t>No</t>
        </is>
      </c>
      <c r="E17" s="2" t="n"/>
      <c r="F17" s="2" t="n"/>
      <c r="G17" s="2" t="n"/>
    </row>
    <row r="18">
      <c r="A18" s="17" t="inlineStr">
        <is>
          <t>Subscriptions</t>
        </is>
      </c>
      <c r="B18" s="18" t="n"/>
      <c r="C18" s="8" t="n">
        <v>25</v>
      </c>
      <c r="D18" s="17" t="inlineStr">
        <is>
          <t>No</t>
        </is>
      </c>
      <c r="E18" s="2" t="n"/>
      <c r="F18" s="2" t="n"/>
      <c r="G18" s="2" t="n"/>
    </row>
    <row r="19">
      <c r="A19" s="17" t="n"/>
      <c r="B19" s="18" t="n"/>
      <c r="C19" s="8" t="n"/>
      <c r="D19" s="17" t="n"/>
      <c r="E19" s="2" t="n"/>
      <c r="F19" s="2" t="n"/>
      <c r="G19" s="2" t="n"/>
    </row>
    <row r="20">
      <c r="A20" s="10" t="inlineStr">
        <is>
          <t>Total bills</t>
        </is>
      </c>
      <c r="B20" s="9" t="n"/>
      <c r="C20" s="11">
        <f>SUM(C12:C19)</f>
        <v/>
      </c>
      <c r="D20" s="10">
        <f>COUNTIF(D12:D19,"Yes")&amp;" of "&amp;COUNTA(A12:A19)&amp;" paid"</f>
        <v/>
      </c>
      <c r="E20" s="2" t="n"/>
      <c r="F20" s="2" t="n"/>
      <c r="G20" s="2" t="n"/>
    </row>
    <row r="21">
      <c r="A21" s="2" t="n"/>
      <c r="B21" s="9" t="n"/>
      <c r="C21" s="9" t="n"/>
      <c r="D21" s="2" t="n"/>
      <c r="E21" s="2" t="n"/>
      <c r="F21" s="2" t="n"/>
      <c r="G21" s="2" t="n"/>
    </row>
    <row r="22">
      <c r="A22" s="4" t="inlineStr">
        <is>
          <t>SAVINGS &amp; DEBT</t>
        </is>
      </c>
      <c r="B22" s="14" t="n"/>
      <c r="C22" s="14" t="n"/>
      <c r="D22" s="4" t="n"/>
      <c r="E22" s="2" t="n"/>
      <c r="F22" s="2" t="n"/>
      <c r="G22" s="2" t="n"/>
    </row>
    <row r="23">
      <c r="A23" s="15" t="inlineStr">
        <is>
          <t>Goal</t>
        </is>
      </c>
      <c r="B23" s="16" t="n"/>
      <c r="C23" s="16" t="inlineStr">
        <is>
          <t>Amount</t>
        </is>
      </c>
      <c r="D23" s="15" t="n"/>
      <c r="E23" s="2" t="n"/>
      <c r="F23" s="2" t="n"/>
      <c r="G23" s="2" t="n"/>
    </row>
    <row r="24">
      <c r="A24" s="17" t="inlineStr">
        <is>
          <t>Emergency fund</t>
        </is>
      </c>
      <c r="B24" s="8" t="n"/>
      <c r="C24" s="8" t="n">
        <v>100</v>
      </c>
      <c r="D24" s="2" t="n"/>
      <c r="E24" s="2" t="n"/>
      <c r="F24" s="2" t="n"/>
      <c r="G24" s="2" t="n"/>
    </row>
    <row r="25">
      <c r="A25" s="17" t="inlineStr">
        <is>
          <t>Extra debt payment</t>
        </is>
      </c>
      <c r="B25" s="8" t="n"/>
      <c r="C25" s="8" t="n">
        <v>50</v>
      </c>
      <c r="D25" s="2" t="n"/>
      <c r="E25" s="2" t="n"/>
      <c r="F25" s="2" t="n"/>
      <c r="G25" s="2" t="n"/>
    </row>
    <row r="26">
      <c r="A26" s="17" t="n"/>
      <c r="B26" s="8" t="n"/>
      <c r="C26" s="8" t="n"/>
      <c r="D26" s="2" t="n"/>
      <c r="E26" s="2" t="n"/>
      <c r="F26" s="2" t="n"/>
      <c r="G26" s="2" t="n"/>
    </row>
    <row r="27">
      <c r="A27" s="10" t="inlineStr">
        <is>
          <t>Total savings &amp; debt</t>
        </is>
      </c>
      <c r="B27" s="9" t="n"/>
      <c r="C27" s="11">
        <f>SUM(C24:C26)</f>
        <v/>
      </c>
      <c r="D27" s="2" t="n"/>
      <c r="E27" s="2" t="n"/>
      <c r="F27" s="2" t="n"/>
      <c r="G27" s="2" t="n"/>
    </row>
    <row r="28">
      <c r="A28" s="2" t="n"/>
      <c r="B28" s="9" t="n"/>
      <c r="C28" s="9" t="n"/>
      <c r="D28" s="2" t="n"/>
      <c r="E28" s="2" t="n"/>
      <c r="F28" s="2" t="n"/>
      <c r="G28" s="2" t="n"/>
    </row>
    <row r="29">
      <c r="A29" s="4" t="inlineStr">
        <is>
          <t>EVERYDAY SPENDING</t>
        </is>
      </c>
      <c r="B29" s="14" t="n"/>
      <c r="C29" s="14" t="n"/>
      <c r="D29" s="4" t="n"/>
      <c r="E29" s="2" t="n"/>
      <c r="F29" s="2" t="n"/>
      <c r="G29" s="2" t="n"/>
    </row>
    <row r="30">
      <c r="A30" s="15" t="inlineStr">
        <is>
          <t>Category</t>
        </is>
      </c>
      <c r="B30" s="16" t="n"/>
      <c r="C30" s="16" t="inlineStr">
        <is>
          <t>Amount</t>
        </is>
      </c>
      <c r="D30" s="15" t="n"/>
      <c r="E30" s="2" t="n"/>
      <c r="F30" s="2" t="n"/>
      <c r="G30" s="2" t="n"/>
    </row>
    <row r="31">
      <c r="A31" s="17" t="inlineStr">
        <is>
          <t>Groceries</t>
        </is>
      </c>
      <c r="B31" s="8" t="n"/>
      <c r="C31" s="8" t="n">
        <v>200</v>
      </c>
      <c r="D31" s="2" t="n"/>
      <c r="E31" s="2" t="n"/>
      <c r="F31" s="2" t="n"/>
      <c r="G31" s="2" t="n"/>
    </row>
    <row r="32">
      <c r="A32" s="17" t="inlineStr">
        <is>
          <t>Gas / transit</t>
        </is>
      </c>
      <c r="B32" s="8" t="n"/>
      <c r="C32" s="8" t="n">
        <v>80</v>
      </c>
      <c r="D32" s="2" t="n"/>
      <c r="E32" s="2" t="n"/>
      <c r="F32" s="2" t="n"/>
      <c r="G32" s="2" t="n"/>
    </row>
    <row r="33">
      <c r="A33" s="17" t="inlineStr">
        <is>
          <t>Fun money</t>
        </is>
      </c>
      <c r="B33" s="8" t="n"/>
      <c r="C33" s="8" t="n">
        <v>50</v>
      </c>
      <c r="D33" s="2" t="n"/>
      <c r="E33" s="2" t="n"/>
      <c r="F33" s="2" t="n"/>
      <c r="G33" s="2" t="n"/>
    </row>
    <row r="34">
      <c r="A34" s="10" t="inlineStr">
        <is>
          <t>Total everyday spending</t>
        </is>
      </c>
      <c r="B34" s="9" t="n"/>
      <c r="C34" s="11">
        <f>SUM(C31:C33)</f>
        <v/>
      </c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19" t="inlineStr">
        <is>
          <t>Want bills auto-assigned to each payday, plus debt payoff? The full CalmColumnsCo templates are 40% off on Etsy through Nov 30. See the Upgrade tab.</t>
        </is>
      </c>
      <c r="B37" s="19" t="n"/>
      <c r="C37" s="19" t="n"/>
      <c r="D37" s="19" t="n"/>
      <c r="E37" s="19" t="n"/>
      <c r="F37" s="19" t="n"/>
      <c r="G37" s="19" t="n"/>
    </row>
    <row r="38">
      <c r="A38" s="20">
        <f>HYPERLINK("https://www.etsy.com/listing/4597075314","Full Paycheck Budget template (Etsy, 40% off through Nov 30)")</f>
        <v/>
      </c>
      <c r="B38" s="19" t="n"/>
      <c r="C38" s="19" t="n"/>
      <c r="D38" s="19" t="n"/>
      <c r="E38" s="19" t="n"/>
      <c r="F38" s="19" t="n"/>
      <c r="G38" s="19" t="n"/>
    </row>
    <row r="39">
      <c r="A39" s="20">
        <f>HYPERLINK("https://www.etsy.com/listing/4597077552","Money Reset Mega Bundle (Etsy, 40% off through Nov 30)")</f>
        <v/>
      </c>
      <c r="B39" s="19" t="n"/>
      <c r="C39" s="19" t="n"/>
      <c r="D39" s="19" t="n"/>
      <c r="E39" s="19" t="n"/>
      <c r="F39" s="19" t="n"/>
      <c r="G39" s="19" t="n"/>
    </row>
    <row r="40">
      <c r="A40" s="2" t="n"/>
      <c r="B40" s="2" t="n"/>
      <c r="C40" s="2" t="n"/>
      <c r="D40" s="2" t="n"/>
      <c r="E40" s="2" t="n"/>
      <c r="F40" s="2" t="n"/>
      <c r="G40" s="2" t="n"/>
    </row>
  </sheetData>
  <dataValidations count="1">
    <dataValidation sqref="D12:D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1" t="inlineStr">
        <is>
          <t>How to use the Paycheck Budget Starter</t>
        </is>
      </c>
    </row>
    <row r="2">
      <c r="A2" s="22" t="inlineStr"/>
    </row>
    <row r="3">
      <c r="A3" s="22" t="inlineStr">
        <is>
          <t>1. Open this file in Google Sheets (drive.google.com &gt; New &gt; File upload, then open it) or in Excel.</t>
        </is>
      </c>
    </row>
    <row r="4">
      <c r="A4" s="22" t="inlineStr">
        <is>
          <t>2. Type your take-home pay for ONE paycheck in the Paycheck section. Add any side income under Other income.</t>
        </is>
      </c>
    </row>
    <row r="5">
      <c r="A5" s="22" t="inlineStr">
        <is>
          <t>3. List the bills you'll pay from this paycheck, with due dates. Rename or clear the sample rows.</t>
        </is>
      </c>
    </row>
    <row r="6">
      <c r="A6" s="22" t="inlineStr">
        <is>
          <t>4. Decide what goes to savings and extra debt payments before you spend.</t>
        </is>
      </c>
    </row>
    <row r="7">
      <c r="A7" s="22" t="inlineStr">
        <is>
          <t>5. Plan groceries, gas and fun money.</t>
        </is>
      </c>
    </row>
    <row r="8">
      <c r="A8" s="22" t="inlineStr">
        <is>
          <t>6. Check Leftover in the Summary. Aim for $0: every dollar has a job. If it's negative, trim a line.</t>
        </is>
      </c>
    </row>
    <row r="9">
      <c r="A9" s="22" t="inlineStr">
        <is>
          <t>7. Mark bills Paid? = Yes as you pay them. Duplicate this tab for your next paycheck.</t>
        </is>
      </c>
    </row>
    <row r="10">
      <c r="A10" s="22" t="inlineStr"/>
    </row>
    <row r="11">
      <c r="A11" s="22" t="inlineStr">
        <is>
          <t>The sample numbers are only examples. Replace them with yours.</t>
        </is>
      </c>
    </row>
    <row r="12">
      <c r="A12" s="22" t="inlineStr"/>
    </row>
    <row r="13">
      <c r="A13" s="22" t="inlineStr">
        <is>
          <t>This starter covers one paycheck by hand. The full Paycheck Budget template (Upgrade tab) handles both paychecks in a month, auto-assigns each bill to a payday, and warns you if a paycheck runs short.</t>
        </is>
      </c>
    </row>
    <row r="14">
      <c r="A14" s="22" t="inlineStr"/>
    </row>
    <row r="15">
      <c r="A15" s="23" t="inlineStr">
        <is>
          <t>CalmColumnsCo, c/o Mike Redler, 867 Boylston Street, 5th Floor #1586, Boston, MA 02116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24" t="inlineStr">
        <is>
          <t>Ready for more than one paycheck?</t>
        </is>
      </c>
    </row>
    <row r="2">
      <c r="A2" s="25" t="inlineStr">
        <is>
          <t>All CalmColumnsCo Google Sheets templates are 40% off on Etsy through Nov 30.</t>
        </is>
      </c>
    </row>
    <row r="4">
      <c r="A4" s="26" t="inlineStr">
        <is>
          <t>Template</t>
        </is>
      </c>
      <c r="B4" s="26" t="inlineStr">
        <is>
          <t>What it adds</t>
        </is>
      </c>
    </row>
    <row r="5">
      <c r="A5" s="27">
        <f>HYPERLINK("https://www.etsy.com/listing/4597075314","Paycheck Budget template")</f>
        <v/>
      </c>
      <c r="B5" s="28" t="inlineStr">
        <is>
          <t>Both paychecks in a month: bills auto-assign to the paycheck that arrives first, left to spend per paycheck and per month, a warning if a paycheck runs short, Paid tracking and a chart.</t>
        </is>
      </c>
    </row>
    <row r="6">
      <c r="A6" s="27">
        <f>HYPERLINK("https://www.etsy.com/listing/4597077552","Money Reset Mega Bundle")</f>
        <v/>
      </c>
      <c r="B6" s="28" t="inlineStr">
        <is>
          <t>All 13 CalmColumnsCo templates in one download, including the Paycheck-to-Paycheck Budget and the Debt Snowball &amp; Avalanche Calculator.</t>
        </is>
      </c>
    </row>
    <row r="7">
      <c r="A7" s="27">
        <f>HYPERLINK("https://www.etsy.com/listing/4596460683","Debt Payoff tracker")</f>
        <v/>
      </c>
      <c r="B7" s="28" t="inlineStr">
        <is>
          <t>Snowball or avalanche: up to 8 debts, automatic rollover, per-debt payoff dates and your debt-free date.</t>
        </is>
      </c>
    </row>
    <row r="9">
      <c r="A9" s="27">
        <f>HYPERLINK("https://calmcolumnsco.etsy.com","See the whole shop: calmcolumnsco.etsy.com")</f>
        <v/>
      </c>
    </row>
    <row r="11">
      <c r="A11" s="29" t="inlineStr">
        <is>
          <t>CalmColumnsCo, c/o Mike Redler, 867 Boylston Street, 5th Floor #1586, Boston, MA 02116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2026-10-29T16:15:28Z</dcterms:created>
  <dcterms:modified xmlns:dcterms="http://purl.org/dc/terms/" xmlns:xsi="http://www.w3.org/2001/XMLSchema-instance" xsi:type="dcterms:W3CDTF">2026-10-29T16:15:28Z</dcterms:modified>
</cp:coreProperties>
</file>